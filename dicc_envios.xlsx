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reoiueedu-my.sharepoint.com/personal/spiedrahitaa_correo_iue_edu_co/Documents/RAÍZ LATINA EXPORT S.A.S/LOGÍSTICA INTERNACIONAL/EUROPA/COTIZADOR OFICIAL/"/>
    </mc:Choice>
  </mc:AlternateContent>
  <xr:revisionPtr revIDLastSave="0" documentId="8_{3B2EB1B4-095E-F746-B843-1B321447A026}" xr6:coauthVersionLast="47" xr6:coauthVersionMax="47" xr10:uidLastSave="{00000000-0000-0000-0000-000000000000}"/>
  <bookViews>
    <workbookView xWindow="-120" yWindow="-120" windowWidth="29040" windowHeight="15720" xr2:uid="{36B0DAAE-8DD0-471F-8585-D991628FC226}"/>
  </bookViews>
  <sheets>
    <sheet name="DICC ENVIOS" sheetId="2" r:id="rId1"/>
  </sheets>
  <externalReferences>
    <externalReference r:id="rId2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2" l="1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<sst xmlns="http://schemas.openxmlformats.org/spreadsheetml/2006/main" count="153" uniqueCount="9">
  <si>
    <t>EL SALVADOR</t>
  </si>
  <si>
    <t>ESTADOS UNIDOS</t>
  </si>
  <si>
    <t>Pais</t>
  </si>
  <si>
    <t>Kg</t>
  </si>
  <si>
    <t>Tarifa</t>
  </si>
  <si>
    <t>España</t>
  </si>
  <si>
    <t>Francia</t>
  </si>
  <si>
    <t>Países Bajos</t>
  </si>
  <si>
    <t>BÉLGICA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</si>
</sst>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2" fontId="1" fillId="0" borderId="0" xfId="0" applyNumberFormat="1" applyFont="1" applyAlignment="1">
      <alignment horizontal="center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externalLink" Target="externalLinks/externalLink1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reoiueedu-my.sharepoint.com/personal/spiedrahitaa_correo_iue_edu_co/Documents/RA&#205;Z%20LATINA%20EXPORT%20S.A.S/LOG&#205;STICA%20INTERNACIONAL/EUROPA/COTIZADOR%20EXPRESS.xlsx" TargetMode="External" /><Relationship Id="rId1" Type="http://schemas.openxmlformats.org/officeDocument/2006/relationships/externalLinkPath" Target="/personal/spiedrahitaa_correo_iue_edu_co/Documents/RA&#205;Z%20LATINA%20EXPORT%20S.A.S/LOG&#205;STICA%20INTERNACIONAL/EUROPA/COTIZADOR%20EXPRESS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FIGURACIÓN"/>
      <sheetName val="SIMULACIÓN"/>
      <sheetName val="MODELO COTIZADOR"/>
      <sheetName val="PEDIDO"/>
      <sheetName val="ESPAÑA"/>
      <sheetName val="FRANCIA"/>
      <sheetName val="EL SALVADOR"/>
      <sheetName val="ESTADOS UNIDOS"/>
      <sheetName val="DICC ENVIOS"/>
      <sheetName val="SIMULADOR"/>
      <sheetName val="Hoja1"/>
    </sheetNames>
    <sheetDataSet>
      <sheetData sheetId="0"/>
      <sheetData sheetId="1"/>
      <sheetData sheetId="2"/>
      <sheetData sheetId="3"/>
      <sheetData sheetId="4">
        <row r="3">
          <cell r="O3">
            <v>53.693137254901963</v>
          </cell>
        </row>
        <row r="4">
          <cell r="O4">
            <v>53.693137254901963</v>
          </cell>
        </row>
        <row r="5">
          <cell r="O5">
            <v>56.519803921568631</v>
          </cell>
        </row>
        <row r="6">
          <cell r="O6">
            <v>56.519803921568631</v>
          </cell>
        </row>
        <row r="7">
          <cell r="O7">
            <v>62.87980392156863</v>
          </cell>
        </row>
        <row r="8">
          <cell r="O8">
            <v>68.533137254901959</v>
          </cell>
        </row>
        <row r="9">
          <cell r="O9">
            <v>74.186470588235295</v>
          </cell>
        </row>
        <row r="10">
          <cell r="O10">
            <v>79.839803921568631</v>
          </cell>
        </row>
        <row r="11">
          <cell r="O11">
            <v>85.493137254901953</v>
          </cell>
        </row>
        <row r="12">
          <cell r="O12">
            <v>91.146470588235289</v>
          </cell>
        </row>
        <row r="13">
          <cell r="O13">
            <v>98.176274509803918</v>
          </cell>
        </row>
        <row r="14">
          <cell r="O14">
            <v>103.82960784313725</v>
          </cell>
        </row>
        <row r="15">
          <cell r="O15">
            <v>109.48294117647058</v>
          </cell>
        </row>
        <row r="16">
          <cell r="O16">
            <v>115.13627450980391</v>
          </cell>
        </row>
        <row r="17">
          <cell r="O17">
            <v>120.78960784313725</v>
          </cell>
        </row>
        <row r="18">
          <cell r="O18">
            <v>126.44294117647058</v>
          </cell>
        </row>
        <row r="19">
          <cell r="O19">
            <v>132.09627450980392</v>
          </cell>
        </row>
        <row r="20">
          <cell r="O20">
            <v>137.74960784313726</v>
          </cell>
        </row>
        <row r="21">
          <cell r="O21">
            <v>143.40294117647059</v>
          </cell>
        </row>
        <row r="22">
          <cell r="O22">
            <v>149.05627450980393</v>
          </cell>
        </row>
        <row r="23">
          <cell r="O23">
            <v>170.83352941176469</v>
          </cell>
        </row>
        <row r="24">
          <cell r="O24">
            <v>182.70019607843136</v>
          </cell>
        </row>
        <row r="25">
          <cell r="O25">
            <v>194.56686274509804</v>
          </cell>
        </row>
        <row r="26">
          <cell r="O26">
            <v>206.43352941176471</v>
          </cell>
        </row>
        <row r="27">
          <cell r="O27">
            <v>218.30019607843138</v>
          </cell>
        </row>
      </sheetData>
      <sheetData sheetId="5">
        <row r="3">
          <cell r="E3">
            <v>28.266666666666652</v>
          </cell>
        </row>
        <row r="4">
          <cell r="E4">
            <v>28.266666666666652</v>
          </cell>
        </row>
        <row r="5">
          <cell r="E5">
            <v>31.093333333333323</v>
          </cell>
        </row>
        <row r="6">
          <cell r="E6">
            <v>31.093333333333323</v>
          </cell>
        </row>
        <row r="7">
          <cell r="E7">
            <v>37.453333333333298</v>
          </cell>
        </row>
        <row r="8">
          <cell r="E8">
            <v>43.106666666666648</v>
          </cell>
        </row>
        <row r="9">
          <cell r="E9">
            <v>48.759999999999991</v>
          </cell>
        </row>
        <row r="10">
          <cell r="E10">
            <v>54.413333333333334</v>
          </cell>
        </row>
        <row r="11">
          <cell r="E11">
            <v>60.066666666666684</v>
          </cell>
        </row>
        <row r="12">
          <cell r="E12">
            <v>65.720000000000027</v>
          </cell>
        </row>
        <row r="13">
          <cell r="E13">
            <v>71.373333333333377</v>
          </cell>
        </row>
        <row r="14">
          <cell r="E14">
            <v>77.026666666666642</v>
          </cell>
        </row>
        <row r="15">
          <cell r="E15">
            <v>82.679999999999993</v>
          </cell>
        </row>
        <row r="16">
          <cell r="E16">
            <v>88.333333333333329</v>
          </cell>
        </row>
        <row r="17">
          <cell r="E17">
            <v>93.986666666666679</v>
          </cell>
        </row>
        <row r="18">
          <cell r="E18">
            <v>99.640000000000029</v>
          </cell>
        </row>
        <row r="19">
          <cell r="E19">
            <v>105.29333333333336</v>
          </cell>
        </row>
        <row r="20">
          <cell r="E20">
            <v>110.94666666666672</v>
          </cell>
        </row>
        <row r="21">
          <cell r="E21">
            <v>116.60000000000007</v>
          </cell>
        </row>
        <row r="22">
          <cell r="E22">
            <v>122.2533333333334</v>
          </cell>
        </row>
        <row r="23">
          <cell r="E23">
            <v>134.12000000000003</v>
          </cell>
        </row>
        <row r="24">
          <cell r="E24">
            <v>145.98666666666668</v>
          </cell>
        </row>
        <row r="25">
          <cell r="E25">
            <v>157.85333333333332</v>
          </cell>
        </row>
        <row r="26">
          <cell r="E26">
            <v>169.71999999999994</v>
          </cell>
        </row>
        <row r="27">
          <cell r="E27">
            <v>181.58666666666673</v>
          </cell>
        </row>
      </sheetData>
      <sheetData sheetId="6">
        <row r="3">
          <cell r="C3">
            <v>24.228571428571431</v>
          </cell>
        </row>
        <row r="4">
          <cell r="C4">
            <v>24.228571428571431</v>
          </cell>
        </row>
        <row r="5">
          <cell r="C5">
            <v>25.742857142857144</v>
          </cell>
        </row>
        <row r="6">
          <cell r="C6">
            <v>25.742857142857144</v>
          </cell>
        </row>
        <row r="7">
          <cell r="C7">
            <v>31.800000000000004</v>
          </cell>
        </row>
        <row r="8">
          <cell r="C8">
            <v>37.857142857142861</v>
          </cell>
        </row>
        <row r="9">
          <cell r="C9">
            <v>43.914285714285718</v>
          </cell>
        </row>
        <row r="10">
          <cell r="C10">
            <v>49.971428571428568</v>
          </cell>
        </row>
        <row r="11">
          <cell r="C11">
            <v>56.028571428571432</v>
          </cell>
        </row>
        <row r="12">
          <cell r="C12">
            <v>62.085714285714289</v>
          </cell>
        </row>
        <row r="13">
          <cell r="C13">
            <v>67.842857142857156</v>
          </cell>
        </row>
        <row r="14">
          <cell r="C14">
            <v>73.600000000000009</v>
          </cell>
        </row>
        <row r="15">
          <cell r="C15">
            <v>79.357142857142861</v>
          </cell>
        </row>
        <row r="16">
          <cell r="C16">
            <v>85.114285714285714</v>
          </cell>
        </row>
        <row r="17">
          <cell r="C17">
            <v>90.871428571428581</v>
          </cell>
        </row>
        <row r="18">
          <cell r="C18">
            <v>96.628571428571433</v>
          </cell>
        </row>
        <row r="19">
          <cell r="C19">
            <v>102.3857142857143</v>
          </cell>
        </row>
        <row r="20">
          <cell r="C20">
            <v>108.14285714285715</v>
          </cell>
        </row>
        <row r="21">
          <cell r="C21">
            <v>113.90000000000002</v>
          </cell>
        </row>
        <row r="22">
          <cell r="C22">
            <v>119.65714285714287</v>
          </cell>
        </row>
        <row r="23">
          <cell r="C23">
            <v>130.71428571428572</v>
          </cell>
        </row>
        <row r="24">
          <cell r="C24">
            <v>141.77142857142857</v>
          </cell>
        </row>
        <row r="25">
          <cell r="C25">
            <v>152.82857142857145</v>
          </cell>
        </row>
        <row r="26">
          <cell r="C26">
            <v>163.8857142857143</v>
          </cell>
        </row>
        <row r="27">
          <cell r="C27">
            <v>174.94285714285715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31737-E834-4831-8C16-F4E9B9EE46F9}">
  <dimension ref="A1:C151"/>
  <sheetViews>
    <sheetView showGridLines="0" tabSelected="1" topLeftCell="A133" workbookViewId="0">
      <selection activeCell="G140" sqref="G140"/>
    </sheetView>
  </sheetViews>
  <sheetFormatPr defaultColWidth="10.76171875" defaultRowHeight="15" x14ac:dyDescent="0.2"/>
  <sheetData>
    <row r="1" spans="1:3" x14ac:dyDescent="0.2">
      <c r="A1" s="1" t="s">
        <v>2</v>
      </c>
      <c r="B1" s="1" t="s">
        <v>3</v>
      </c>
      <c r="C1" s="4" t="s">
        <v>4</v>
      </c>
    </row>
    <row r="2" spans="1:3" x14ac:dyDescent="0.2">
      <c r="A2" s="2" t="s">
        <v>5</v>
      </c>
      <c r="B2" s="3">
        <v>0.5</v>
      </c>
      <c r="C2" s="5">
        <f>[1]ESPAÑA!O3*0.86</f>
        <v>46.176098039215688</v>
      </c>
    </row>
    <row r="3" spans="1:3" x14ac:dyDescent="0.2">
      <c r="A3" s="2" t="s">
        <v>5</v>
      </c>
      <c r="B3" s="3">
        <v>1</v>
      </c>
      <c r="C3" s="5">
        <f>[1]ESPAÑA!O4*0.86</f>
        <v>46.176098039215688</v>
      </c>
    </row>
    <row r="4" spans="1:3" x14ac:dyDescent="0.2">
      <c r="A4" s="2" t="s">
        <v>5</v>
      </c>
      <c r="B4" s="3">
        <v>1.5</v>
      </c>
      <c r="C4" s="5">
        <f>[1]ESPAÑA!O5*0.86</f>
        <v>48.607031372549024</v>
      </c>
    </row>
    <row r="5" spans="1:3" x14ac:dyDescent="0.2">
      <c r="A5" s="2" t="s">
        <v>5</v>
      </c>
      <c r="B5" s="3">
        <v>2</v>
      </c>
      <c r="C5" s="5">
        <f>[1]ESPAÑA!O6*0.86</f>
        <v>48.607031372549024</v>
      </c>
    </row>
    <row r="6" spans="1:3" x14ac:dyDescent="0.2">
      <c r="A6" s="2" t="s">
        <v>5</v>
      </c>
      <c r="B6" s="3">
        <v>2.5</v>
      </c>
      <c r="C6" s="5">
        <f>[1]ESPAÑA!O7*0.86</f>
        <v>54.076631372549024</v>
      </c>
    </row>
    <row r="7" spans="1:3" x14ac:dyDescent="0.2">
      <c r="A7" s="2" t="s">
        <v>5</v>
      </c>
      <c r="B7" s="3">
        <v>3</v>
      </c>
      <c r="C7" s="5">
        <f>[1]ESPAÑA!O8*0.86</f>
        <v>58.938498039215681</v>
      </c>
    </row>
    <row r="8" spans="1:3" x14ac:dyDescent="0.2">
      <c r="A8" s="2" t="s">
        <v>5</v>
      </c>
      <c r="B8" s="3">
        <v>3.5</v>
      </c>
      <c r="C8" s="5">
        <f>[1]ESPAÑA!O9*0.86</f>
        <v>63.800364705882352</v>
      </c>
    </row>
    <row r="9" spans="1:3" x14ac:dyDescent="0.2">
      <c r="A9" s="2" t="s">
        <v>5</v>
      </c>
      <c r="B9" s="3">
        <v>4</v>
      </c>
      <c r="C9" s="5">
        <f>[1]ESPAÑA!O10*0.86</f>
        <v>68.662231372549016</v>
      </c>
    </row>
    <row r="10" spans="1:3" x14ac:dyDescent="0.2">
      <c r="A10" s="2" t="s">
        <v>5</v>
      </c>
      <c r="B10" s="3">
        <v>4.5</v>
      </c>
      <c r="C10" s="5">
        <f>[1]ESPAÑA!O11*0.86</f>
        <v>73.524098039215673</v>
      </c>
    </row>
    <row r="11" spans="1:3" x14ac:dyDescent="0.2">
      <c r="A11" s="2" t="s">
        <v>5</v>
      </c>
      <c r="B11" s="3">
        <v>5</v>
      </c>
      <c r="C11" s="5">
        <f>[1]ESPAÑA!O12*0.86</f>
        <v>78.385964705882344</v>
      </c>
    </row>
    <row r="12" spans="1:3" x14ac:dyDescent="0.2">
      <c r="A12" s="2" t="s">
        <v>5</v>
      </c>
      <c r="B12" s="3">
        <v>5.5</v>
      </c>
      <c r="C12" s="5">
        <f>[1]ESPAÑA!O13*0.86</f>
        <v>84.431596078431369</v>
      </c>
    </row>
    <row r="13" spans="1:3" x14ac:dyDescent="0.2">
      <c r="A13" s="2" t="s">
        <v>5</v>
      </c>
      <c r="B13" s="3">
        <v>6</v>
      </c>
      <c r="C13" s="5">
        <f>[1]ESPAÑA!O14*0.86</f>
        <v>89.29346274509804</v>
      </c>
    </row>
    <row r="14" spans="1:3" x14ac:dyDescent="0.2">
      <c r="A14" s="2" t="s">
        <v>5</v>
      </c>
      <c r="B14" s="3">
        <v>6.5</v>
      </c>
      <c r="C14" s="5">
        <f>[1]ESPAÑA!O15*0.86</f>
        <v>94.155329411764697</v>
      </c>
    </row>
    <row r="15" spans="1:3" x14ac:dyDescent="0.2">
      <c r="A15" s="2" t="s">
        <v>5</v>
      </c>
      <c r="B15" s="3">
        <v>7</v>
      </c>
      <c r="C15" s="5">
        <f>[1]ESPAÑA!O16*0.86</f>
        <v>99.017196078431368</v>
      </c>
    </row>
    <row r="16" spans="1:3" x14ac:dyDescent="0.2">
      <c r="A16" s="2" t="s">
        <v>5</v>
      </c>
      <c r="B16" s="3">
        <v>7.5</v>
      </c>
      <c r="C16" s="5">
        <f>[1]ESPAÑA!O17*0.86</f>
        <v>103.87906274509803</v>
      </c>
    </row>
    <row r="17" spans="1:3" x14ac:dyDescent="0.2">
      <c r="A17" s="2" t="s">
        <v>5</v>
      </c>
      <c r="B17" s="3">
        <v>8</v>
      </c>
      <c r="C17" s="5">
        <f>[1]ESPAÑA!O18*0.86</f>
        <v>108.7409294117647</v>
      </c>
    </row>
    <row r="18" spans="1:3" x14ac:dyDescent="0.2">
      <c r="A18" s="2" t="s">
        <v>5</v>
      </c>
      <c r="B18" s="3">
        <v>8.5</v>
      </c>
      <c r="C18" s="5">
        <f>[1]ESPAÑA!O19*0.86</f>
        <v>113.60279607843137</v>
      </c>
    </row>
    <row r="19" spans="1:3" x14ac:dyDescent="0.2">
      <c r="A19" s="2" t="s">
        <v>5</v>
      </c>
      <c r="B19" s="3">
        <v>9</v>
      </c>
      <c r="C19" s="5">
        <f>[1]ESPAÑA!O20*0.86</f>
        <v>118.46466274509804</v>
      </c>
    </row>
    <row r="20" spans="1:3" x14ac:dyDescent="0.2">
      <c r="A20" s="2" t="s">
        <v>5</v>
      </c>
      <c r="B20" s="3">
        <v>9.5</v>
      </c>
      <c r="C20" s="5">
        <f>[1]ESPAÑA!O21*0.86</f>
        <v>123.32652941176471</v>
      </c>
    </row>
    <row r="21" spans="1:3" x14ac:dyDescent="0.2">
      <c r="A21" s="2" t="s">
        <v>5</v>
      </c>
      <c r="B21" s="3">
        <v>10</v>
      </c>
      <c r="C21" s="5">
        <f>[1]ESPAÑA!O22*0.86</f>
        <v>128.18839607843137</v>
      </c>
    </row>
    <row r="22" spans="1:3" x14ac:dyDescent="0.2">
      <c r="A22" s="2" t="s">
        <v>5</v>
      </c>
      <c r="B22" s="3">
        <v>11</v>
      </c>
      <c r="C22" s="5">
        <f>[1]ESPAÑA!O23*0.86</f>
        <v>146.91683529411762</v>
      </c>
    </row>
    <row r="23" spans="1:3" x14ac:dyDescent="0.2">
      <c r="A23" s="2" t="s">
        <v>5</v>
      </c>
      <c r="B23" s="3">
        <v>12</v>
      </c>
      <c r="C23" s="5">
        <f>[1]ESPAÑA!O24*0.86</f>
        <v>157.12216862745098</v>
      </c>
    </row>
    <row r="24" spans="1:3" x14ac:dyDescent="0.2">
      <c r="A24" s="2" t="s">
        <v>5</v>
      </c>
      <c r="B24" s="3">
        <v>13</v>
      </c>
      <c r="C24" s="5">
        <f>[1]ESPAÑA!O25*0.86</f>
        <v>167.3275019607843</v>
      </c>
    </row>
    <row r="25" spans="1:3" x14ac:dyDescent="0.2">
      <c r="A25" s="2" t="s">
        <v>5</v>
      </c>
      <c r="B25" s="3">
        <v>14</v>
      </c>
      <c r="C25" s="5">
        <f>[1]ESPAÑA!O26*0.86</f>
        <v>177.53283529411766</v>
      </c>
    </row>
    <row r="26" spans="1:3" x14ac:dyDescent="0.2">
      <c r="A26" s="2" t="s">
        <v>5</v>
      </c>
      <c r="B26" s="3">
        <v>15</v>
      </c>
      <c r="C26" s="5">
        <f>[1]ESPAÑA!O27*0.86</f>
        <v>187.73816862745099</v>
      </c>
    </row>
    <row r="27" spans="1:3" x14ac:dyDescent="0.2">
      <c r="A27" s="2" t="s">
        <v>6</v>
      </c>
      <c r="B27" s="3">
        <v>0.5</v>
      </c>
      <c r="C27" s="5">
        <f>[1]FRANCIA!E3*0.86</f>
        <v>24.309333333333321</v>
      </c>
    </row>
    <row r="28" spans="1:3" x14ac:dyDescent="0.2">
      <c r="A28" s="2" t="s">
        <v>6</v>
      </c>
      <c r="B28" s="3">
        <v>1</v>
      </c>
      <c r="C28" s="5">
        <f>[1]FRANCIA!E4*0.86</f>
        <v>24.309333333333321</v>
      </c>
    </row>
    <row r="29" spans="1:3" x14ac:dyDescent="0.2">
      <c r="A29" s="2" t="s">
        <v>6</v>
      </c>
      <c r="B29" s="3">
        <v>1.5</v>
      </c>
      <c r="C29" s="5">
        <f>[1]FRANCIA!E5*0.86</f>
        <v>26.740266666666656</v>
      </c>
    </row>
    <row r="30" spans="1:3" x14ac:dyDescent="0.2">
      <c r="A30" s="2" t="s">
        <v>6</v>
      </c>
      <c r="B30" s="3">
        <v>2</v>
      </c>
      <c r="C30" s="5">
        <f>[1]FRANCIA!E6*0.86</f>
        <v>26.740266666666656</v>
      </c>
    </row>
    <row r="31" spans="1:3" x14ac:dyDescent="0.2">
      <c r="A31" s="2" t="s">
        <v>6</v>
      </c>
      <c r="B31" s="3">
        <v>2.5</v>
      </c>
      <c r="C31" s="5">
        <f>[1]FRANCIA!E7*0.86</f>
        <v>32.209866666666635</v>
      </c>
    </row>
    <row r="32" spans="1:3" x14ac:dyDescent="0.2">
      <c r="A32" s="2" t="s">
        <v>6</v>
      </c>
      <c r="B32" s="3">
        <v>3</v>
      </c>
      <c r="C32" s="5">
        <f>[1]FRANCIA!E8*0.86</f>
        <v>37.071733333333313</v>
      </c>
    </row>
    <row r="33" spans="1:3" x14ac:dyDescent="0.2">
      <c r="A33" s="2" t="s">
        <v>6</v>
      </c>
      <c r="B33" s="3">
        <v>3.5</v>
      </c>
      <c r="C33" s="5">
        <f>[1]FRANCIA!E9*0.86</f>
        <v>41.933599999999991</v>
      </c>
    </row>
    <row r="34" spans="1:3" x14ac:dyDescent="0.2">
      <c r="A34" s="2" t="s">
        <v>6</v>
      </c>
      <c r="B34" s="3">
        <v>4</v>
      </c>
      <c r="C34" s="5">
        <f>[1]FRANCIA!E10*0.86</f>
        <v>46.79546666666667</v>
      </c>
    </row>
    <row r="35" spans="1:3" x14ac:dyDescent="0.2">
      <c r="A35" s="2" t="s">
        <v>6</v>
      </c>
      <c r="B35" s="3">
        <v>4.5</v>
      </c>
      <c r="C35" s="5">
        <f>[1]FRANCIA!E11*0.86</f>
        <v>51.657333333333348</v>
      </c>
    </row>
    <row r="36" spans="1:3" x14ac:dyDescent="0.2">
      <c r="A36" s="2" t="s">
        <v>6</v>
      </c>
      <c r="B36" s="3">
        <v>5</v>
      </c>
      <c r="C36" s="5">
        <f>[1]FRANCIA!E12*0.86</f>
        <v>56.519200000000019</v>
      </c>
    </row>
    <row r="37" spans="1:3" x14ac:dyDescent="0.2">
      <c r="A37" s="2" t="s">
        <v>6</v>
      </c>
      <c r="B37" s="3">
        <v>5.5</v>
      </c>
      <c r="C37" s="5">
        <f>[1]FRANCIA!E13*0.86</f>
        <v>61.381066666666705</v>
      </c>
    </row>
    <row r="38" spans="1:3" x14ac:dyDescent="0.2">
      <c r="A38" s="2" t="s">
        <v>6</v>
      </c>
      <c r="B38" s="3">
        <v>6</v>
      </c>
      <c r="C38" s="5">
        <f>[1]FRANCIA!E14*0.86</f>
        <v>66.242933333333312</v>
      </c>
    </row>
    <row r="39" spans="1:3" x14ac:dyDescent="0.2">
      <c r="A39" s="2" t="s">
        <v>6</v>
      </c>
      <c r="B39" s="3">
        <v>6.5</v>
      </c>
      <c r="C39" s="5">
        <f>[1]FRANCIA!E15*0.86</f>
        <v>71.104799999999997</v>
      </c>
    </row>
    <row r="40" spans="1:3" x14ac:dyDescent="0.2">
      <c r="A40" s="2" t="s">
        <v>6</v>
      </c>
      <c r="B40" s="3">
        <v>7</v>
      </c>
      <c r="C40" s="5">
        <f>[1]FRANCIA!E16*0.86</f>
        <v>75.966666666666654</v>
      </c>
    </row>
    <row r="41" spans="1:3" x14ac:dyDescent="0.2">
      <c r="A41" s="2" t="s">
        <v>6</v>
      </c>
      <c r="B41" s="3">
        <v>7.5</v>
      </c>
      <c r="C41" s="5">
        <f>[1]FRANCIA!E17*0.86</f>
        <v>80.82853333333334</v>
      </c>
    </row>
    <row r="42" spans="1:3" x14ac:dyDescent="0.2">
      <c r="A42" s="2" t="s">
        <v>6</v>
      </c>
      <c r="B42" s="3">
        <v>8</v>
      </c>
      <c r="C42" s="5">
        <f>[1]FRANCIA!E18*0.86</f>
        <v>85.690400000000025</v>
      </c>
    </row>
    <row r="43" spans="1:3" x14ac:dyDescent="0.2">
      <c r="A43" s="2" t="s">
        <v>6</v>
      </c>
      <c r="B43" s="3">
        <v>8.5</v>
      </c>
      <c r="C43" s="5">
        <f>[1]FRANCIA!E19*0.86</f>
        <v>90.552266666666696</v>
      </c>
    </row>
    <row r="44" spans="1:3" x14ac:dyDescent="0.2">
      <c r="A44" s="2" t="s">
        <v>6</v>
      </c>
      <c r="B44" s="3">
        <v>9</v>
      </c>
      <c r="C44" s="5">
        <f>[1]FRANCIA!E20*0.86</f>
        <v>95.414133333333368</v>
      </c>
    </row>
    <row r="45" spans="1:3" x14ac:dyDescent="0.2">
      <c r="A45" s="2" t="s">
        <v>6</v>
      </c>
      <c r="B45" s="3">
        <v>9.5</v>
      </c>
      <c r="C45" s="5">
        <f>[1]FRANCIA!E21*0.86</f>
        <v>100.27600000000005</v>
      </c>
    </row>
    <row r="46" spans="1:3" x14ac:dyDescent="0.2">
      <c r="A46" s="2" t="s">
        <v>6</v>
      </c>
      <c r="B46" s="3">
        <v>10</v>
      </c>
      <c r="C46" s="5">
        <f>[1]FRANCIA!E22*0.86</f>
        <v>105.13786666666672</v>
      </c>
    </row>
    <row r="47" spans="1:3" x14ac:dyDescent="0.2">
      <c r="A47" s="2" t="s">
        <v>6</v>
      </c>
      <c r="B47" s="3">
        <v>11</v>
      </c>
      <c r="C47" s="5">
        <f>[1]FRANCIA!E23*0.86</f>
        <v>115.34320000000002</v>
      </c>
    </row>
    <row r="48" spans="1:3" x14ac:dyDescent="0.2">
      <c r="A48" s="2" t="s">
        <v>6</v>
      </c>
      <c r="B48" s="3">
        <v>12</v>
      </c>
      <c r="C48" s="5">
        <f>[1]FRANCIA!E24*0.86</f>
        <v>125.54853333333334</v>
      </c>
    </row>
    <row r="49" spans="1:3" x14ac:dyDescent="0.2">
      <c r="A49" s="2" t="s">
        <v>6</v>
      </c>
      <c r="B49" s="3">
        <v>13</v>
      </c>
      <c r="C49" s="5">
        <f>[1]FRANCIA!E25*0.86</f>
        <v>135.75386666666665</v>
      </c>
    </row>
    <row r="50" spans="1:3" x14ac:dyDescent="0.2">
      <c r="A50" s="2" t="s">
        <v>6</v>
      </c>
      <c r="B50" s="3">
        <v>14</v>
      </c>
      <c r="C50" s="5">
        <f>[1]FRANCIA!E26*0.86</f>
        <v>145.95919999999995</v>
      </c>
    </row>
    <row r="51" spans="1:3" x14ac:dyDescent="0.2">
      <c r="A51" s="2" t="s">
        <v>6</v>
      </c>
      <c r="B51" s="3">
        <v>15</v>
      </c>
      <c r="C51" s="5">
        <f>[1]FRANCIA!E27*0.86</f>
        <v>156.1645333333334</v>
      </c>
    </row>
    <row r="52" spans="1:3" x14ac:dyDescent="0.2">
      <c r="A52" s="2" t="s">
        <v>0</v>
      </c>
      <c r="B52" s="3">
        <v>0.5</v>
      </c>
      <c r="C52" s="5">
        <f>'[1]EL SALVADOR'!C3</f>
        <v>24.228571428571431</v>
      </c>
    </row>
    <row r="53" spans="1:3" x14ac:dyDescent="0.2">
      <c r="A53" s="2" t="s">
        <v>0</v>
      </c>
      <c r="B53" s="3">
        <v>1</v>
      </c>
      <c r="C53" s="5">
        <f>'[1]EL SALVADOR'!C4</f>
        <v>24.228571428571431</v>
      </c>
    </row>
    <row r="54" spans="1:3" x14ac:dyDescent="0.2">
      <c r="A54" s="2" t="s">
        <v>0</v>
      </c>
      <c r="B54" s="3">
        <v>1.5</v>
      </c>
      <c r="C54" s="5">
        <f>'[1]EL SALVADOR'!C5</f>
        <v>25.742857142857144</v>
      </c>
    </row>
    <row r="55" spans="1:3" x14ac:dyDescent="0.2">
      <c r="A55" s="2" t="s">
        <v>0</v>
      </c>
      <c r="B55" s="3">
        <v>2</v>
      </c>
      <c r="C55" s="5">
        <f>'[1]EL SALVADOR'!C6</f>
        <v>25.742857142857144</v>
      </c>
    </row>
    <row r="56" spans="1:3" x14ac:dyDescent="0.2">
      <c r="A56" s="2" t="s">
        <v>0</v>
      </c>
      <c r="B56" s="3">
        <v>2.5</v>
      </c>
      <c r="C56" s="5">
        <f>'[1]EL SALVADOR'!C7</f>
        <v>31.800000000000004</v>
      </c>
    </row>
    <row r="57" spans="1:3" x14ac:dyDescent="0.2">
      <c r="A57" s="2" t="s">
        <v>0</v>
      </c>
      <c r="B57" s="3">
        <v>3</v>
      </c>
      <c r="C57" s="5">
        <f>'[1]EL SALVADOR'!C8</f>
        <v>37.857142857142861</v>
      </c>
    </row>
    <row r="58" spans="1:3" x14ac:dyDescent="0.2">
      <c r="A58" s="2" t="s">
        <v>0</v>
      </c>
      <c r="B58" s="3">
        <v>3.5</v>
      </c>
      <c r="C58" s="5">
        <f>'[1]EL SALVADOR'!C9</f>
        <v>43.914285714285718</v>
      </c>
    </row>
    <row r="59" spans="1:3" x14ac:dyDescent="0.2">
      <c r="A59" s="2" t="s">
        <v>0</v>
      </c>
      <c r="B59" s="3">
        <v>4</v>
      </c>
      <c r="C59" s="5">
        <f>'[1]EL SALVADOR'!C10</f>
        <v>49.971428571428568</v>
      </c>
    </row>
    <row r="60" spans="1:3" x14ac:dyDescent="0.2">
      <c r="A60" s="2" t="s">
        <v>0</v>
      </c>
      <c r="B60" s="3">
        <v>4.5</v>
      </c>
      <c r="C60" s="5">
        <f>'[1]EL SALVADOR'!C11</f>
        <v>56.028571428571432</v>
      </c>
    </row>
    <row r="61" spans="1:3" x14ac:dyDescent="0.2">
      <c r="A61" s="2" t="s">
        <v>0</v>
      </c>
      <c r="B61" s="3">
        <v>5</v>
      </c>
      <c r="C61" s="5">
        <f>'[1]EL SALVADOR'!C12</f>
        <v>62.085714285714289</v>
      </c>
    </row>
    <row r="62" spans="1:3" x14ac:dyDescent="0.2">
      <c r="A62" s="2" t="s">
        <v>0</v>
      </c>
      <c r="B62" s="3">
        <v>5.5</v>
      </c>
      <c r="C62" s="5">
        <f>'[1]EL SALVADOR'!C13</f>
        <v>67.842857142857156</v>
      </c>
    </row>
    <row r="63" spans="1:3" x14ac:dyDescent="0.2">
      <c r="A63" s="2" t="s">
        <v>0</v>
      </c>
      <c r="B63" s="3">
        <v>6</v>
      </c>
      <c r="C63" s="5">
        <f>'[1]EL SALVADOR'!C14</f>
        <v>73.600000000000009</v>
      </c>
    </row>
    <row r="64" spans="1:3" x14ac:dyDescent="0.2">
      <c r="A64" s="2" t="s">
        <v>0</v>
      </c>
      <c r="B64" s="3">
        <v>6.5</v>
      </c>
      <c r="C64" s="5">
        <f>'[1]EL SALVADOR'!C15</f>
        <v>79.357142857142861</v>
      </c>
    </row>
    <row r="65" spans="1:3" x14ac:dyDescent="0.2">
      <c r="A65" s="2" t="s">
        <v>0</v>
      </c>
      <c r="B65" s="3">
        <v>7</v>
      </c>
      <c r="C65" s="5">
        <f>'[1]EL SALVADOR'!C16</f>
        <v>85.114285714285714</v>
      </c>
    </row>
    <row r="66" spans="1:3" x14ac:dyDescent="0.2">
      <c r="A66" s="2" t="s">
        <v>0</v>
      </c>
      <c r="B66" s="3">
        <v>7.5</v>
      </c>
      <c r="C66" s="5">
        <f>'[1]EL SALVADOR'!C17</f>
        <v>90.871428571428581</v>
      </c>
    </row>
    <row r="67" spans="1:3" x14ac:dyDescent="0.2">
      <c r="A67" s="2" t="s">
        <v>0</v>
      </c>
      <c r="B67" s="3">
        <v>8</v>
      </c>
      <c r="C67" s="5">
        <f>'[1]EL SALVADOR'!C18</f>
        <v>96.628571428571433</v>
      </c>
    </row>
    <row r="68" spans="1:3" x14ac:dyDescent="0.2">
      <c r="A68" s="2" t="s">
        <v>0</v>
      </c>
      <c r="B68" s="3">
        <v>8.5</v>
      </c>
      <c r="C68" s="5">
        <f>'[1]EL SALVADOR'!C19</f>
        <v>102.3857142857143</v>
      </c>
    </row>
    <row r="69" spans="1:3" x14ac:dyDescent="0.2">
      <c r="A69" s="2" t="s">
        <v>0</v>
      </c>
      <c r="B69" s="3">
        <v>9</v>
      </c>
      <c r="C69" s="5">
        <f>'[1]EL SALVADOR'!C20</f>
        <v>108.14285714285715</v>
      </c>
    </row>
    <row r="70" spans="1:3" x14ac:dyDescent="0.2">
      <c r="A70" s="2" t="s">
        <v>0</v>
      </c>
      <c r="B70" s="3">
        <v>9.5</v>
      </c>
      <c r="C70" s="5">
        <f>'[1]EL SALVADOR'!C21</f>
        <v>113.90000000000002</v>
      </c>
    </row>
    <row r="71" spans="1:3" x14ac:dyDescent="0.2">
      <c r="A71" s="2" t="s">
        <v>0</v>
      </c>
      <c r="B71" s="3">
        <v>10</v>
      </c>
      <c r="C71" s="5">
        <f>'[1]EL SALVADOR'!C22</f>
        <v>119.65714285714287</v>
      </c>
    </row>
    <row r="72" spans="1:3" x14ac:dyDescent="0.2">
      <c r="A72" s="2" t="s">
        <v>0</v>
      </c>
      <c r="B72" s="3">
        <v>11</v>
      </c>
      <c r="C72" s="5">
        <f>'[1]EL SALVADOR'!C23</f>
        <v>130.71428571428572</v>
      </c>
    </row>
    <row r="73" spans="1:3" x14ac:dyDescent="0.2">
      <c r="A73" s="2" t="s">
        <v>0</v>
      </c>
      <c r="B73" s="3">
        <v>12</v>
      </c>
      <c r="C73" s="5">
        <f>'[1]EL SALVADOR'!C24</f>
        <v>141.77142857142857</v>
      </c>
    </row>
    <row r="74" spans="1:3" x14ac:dyDescent="0.2">
      <c r="A74" s="2" t="s">
        <v>0</v>
      </c>
      <c r="B74" s="3">
        <v>13</v>
      </c>
      <c r="C74" s="5">
        <f>'[1]EL SALVADOR'!C25</f>
        <v>152.82857142857145</v>
      </c>
    </row>
    <row r="75" spans="1:3" x14ac:dyDescent="0.2">
      <c r="A75" s="2" t="s">
        <v>0</v>
      </c>
      <c r="B75" s="3">
        <v>14</v>
      </c>
      <c r="C75" s="5">
        <f>'[1]EL SALVADOR'!C26</f>
        <v>163.8857142857143</v>
      </c>
    </row>
    <row r="76" spans="1:3" x14ac:dyDescent="0.2">
      <c r="A76" s="2" t="s">
        <v>0</v>
      </c>
      <c r="B76" s="3">
        <v>15</v>
      </c>
      <c r="C76" s="5">
        <f>'[1]EL SALVADOR'!C27</f>
        <v>174.94285714285715</v>
      </c>
    </row>
    <row r="77" spans="1:3" x14ac:dyDescent="0.2">
      <c r="A77" s="2" t="s">
        <v>1</v>
      </c>
      <c r="B77" s="3">
        <v>0.5</v>
      </c>
      <c r="C77" s="5">
        <v>35.333333333333336</v>
      </c>
    </row>
    <row r="78" spans="1:3" x14ac:dyDescent="0.2">
      <c r="A78" s="2" t="s">
        <v>1</v>
      </c>
      <c r="B78" s="3">
        <v>1</v>
      </c>
      <c r="C78" s="5">
        <v>35.333333333333336</v>
      </c>
    </row>
    <row r="79" spans="1:3" x14ac:dyDescent="0.2">
      <c r="A79" s="2" t="s">
        <v>1</v>
      </c>
      <c r="B79" s="3">
        <v>1.5</v>
      </c>
      <c r="C79" s="5">
        <v>37.1</v>
      </c>
    </row>
    <row r="80" spans="1:3" x14ac:dyDescent="0.2">
      <c r="A80" s="2" t="s">
        <v>1</v>
      </c>
      <c r="B80" s="3">
        <v>2</v>
      </c>
      <c r="C80" s="5">
        <v>37.1</v>
      </c>
    </row>
    <row r="81" spans="1:3" x14ac:dyDescent="0.2">
      <c r="A81" s="2" t="s">
        <v>1</v>
      </c>
      <c r="B81" s="3">
        <v>2.5</v>
      </c>
      <c r="C81" s="5">
        <v>40.983333333333334</v>
      </c>
    </row>
    <row r="82" spans="1:3" x14ac:dyDescent="0.2">
      <c r="A82" s="2" t="s">
        <v>1</v>
      </c>
      <c r="B82" s="3">
        <v>3</v>
      </c>
      <c r="C82" s="5">
        <v>44.7</v>
      </c>
    </row>
    <row r="83" spans="1:3" x14ac:dyDescent="0.2">
      <c r="A83" s="2" t="s">
        <v>1</v>
      </c>
      <c r="B83" s="3">
        <v>3.5</v>
      </c>
      <c r="C83" s="5">
        <v>48.416666666666671</v>
      </c>
    </row>
    <row r="84" spans="1:3" x14ac:dyDescent="0.2">
      <c r="A84" s="2" t="s">
        <v>1</v>
      </c>
      <c r="B84" s="3">
        <v>4</v>
      </c>
      <c r="C84" s="5">
        <v>52.13333333333334</v>
      </c>
    </row>
    <row r="85" spans="1:3" x14ac:dyDescent="0.2">
      <c r="A85" s="2" t="s">
        <v>1</v>
      </c>
      <c r="B85" s="3">
        <v>4.5</v>
      </c>
      <c r="C85" s="5">
        <v>55.85</v>
      </c>
    </row>
    <row r="86" spans="1:3" x14ac:dyDescent="0.2">
      <c r="A86" s="2" t="s">
        <v>1</v>
      </c>
      <c r="B86" s="3">
        <v>5</v>
      </c>
      <c r="C86" s="5">
        <v>59.56666666666667</v>
      </c>
    </row>
    <row r="87" spans="1:3" x14ac:dyDescent="0.2">
      <c r="A87" s="2" t="s">
        <v>1</v>
      </c>
      <c r="B87" s="3">
        <v>5.5</v>
      </c>
      <c r="C87" s="5">
        <v>63.633333333333333</v>
      </c>
    </row>
    <row r="88" spans="1:3" x14ac:dyDescent="0.2">
      <c r="A88" s="2" t="s">
        <v>1</v>
      </c>
      <c r="B88" s="3">
        <v>6</v>
      </c>
      <c r="C88" s="5">
        <v>67.7</v>
      </c>
    </row>
    <row r="89" spans="1:3" x14ac:dyDescent="0.2">
      <c r="A89" s="2" t="s">
        <v>1</v>
      </c>
      <c r="B89" s="3">
        <v>6.5</v>
      </c>
      <c r="C89" s="5">
        <v>71.76666666666668</v>
      </c>
    </row>
    <row r="90" spans="1:3" x14ac:dyDescent="0.2">
      <c r="A90" s="2" t="s">
        <v>1</v>
      </c>
      <c r="B90" s="3">
        <v>7</v>
      </c>
      <c r="C90" s="5">
        <v>75.833333333333343</v>
      </c>
    </row>
    <row r="91" spans="1:3" x14ac:dyDescent="0.2">
      <c r="A91" s="2" t="s">
        <v>1</v>
      </c>
      <c r="B91" s="3">
        <v>7.5</v>
      </c>
      <c r="C91" s="5">
        <v>79.900000000000006</v>
      </c>
    </row>
    <row r="92" spans="1:3" x14ac:dyDescent="0.2">
      <c r="A92" s="2" t="s">
        <v>1</v>
      </c>
      <c r="B92" s="3">
        <v>8</v>
      </c>
      <c r="C92" s="5">
        <v>83.966666666666669</v>
      </c>
    </row>
    <row r="93" spans="1:3" x14ac:dyDescent="0.2">
      <c r="A93" s="2" t="s">
        <v>1</v>
      </c>
      <c r="B93" s="3">
        <v>8.5</v>
      </c>
      <c r="C93" s="5">
        <v>88.033333333333331</v>
      </c>
    </row>
    <row r="94" spans="1:3" x14ac:dyDescent="0.2">
      <c r="A94" s="2" t="s">
        <v>1</v>
      </c>
      <c r="B94" s="3">
        <v>9</v>
      </c>
      <c r="C94" s="5">
        <v>92.1</v>
      </c>
    </row>
    <row r="95" spans="1:3" x14ac:dyDescent="0.2">
      <c r="A95" s="2" t="s">
        <v>1</v>
      </c>
      <c r="B95" s="3">
        <v>9.5</v>
      </c>
      <c r="C95" s="5">
        <v>96.166666666666671</v>
      </c>
    </row>
    <row r="96" spans="1:3" x14ac:dyDescent="0.2">
      <c r="A96" s="2" t="s">
        <v>1</v>
      </c>
      <c r="B96" s="3">
        <v>10</v>
      </c>
      <c r="C96" s="5">
        <v>100.23333333333333</v>
      </c>
    </row>
    <row r="97" spans="1:3" x14ac:dyDescent="0.2">
      <c r="A97" s="2" t="s">
        <v>1</v>
      </c>
      <c r="B97" s="3">
        <v>11</v>
      </c>
      <c r="C97" s="5">
        <v>105.7</v>
      </c>
    </row>
    <row r="98" spans="1:3" x14ac:dyDescent="0.2">
      <c r="A98" s="2" t="s">
        <v>1</v>
      </c>
      <c r="B98" s="3">
        <v>12</v>
      </c>
      <c r="C98" s="5">
        <v>111.16666666666667</v>
      </c>
    </row>
    <row r="99" spans="1:3" x14ac:dyDescent="0.2">
      <c r="A99" s="2" t="s">
        <v>1</v>
      </c>
      <c r="B99" s="3">
        <v>13</v>
      </c>
      <c r="C99" s="5">
        <v>116.63333333333334</v>
      </c>
    </row>
    <row r="100" spans="1:3" x14ac:dyDescent="0.2">
      <c r="A100" s="2" t="s">
        <v>1</v>
      </c>
      <c r="B100" s="3">
        <v>14</v>
      </c>
      <c r="C100" s="5">
        <v>122.10000000000001</v>
      </c>
    </row>
    <row r="101" spans="1:3" x14ac:dyDescent="0.2">
      <c r="A101" s="2" t="s">
        <v>1</v>
      </c>
      <c r="B101" s="3">
        <v>15</v>
      </c>
      <c r="C101" s="5">
        <v>127.56666666666668</v>
      </c>
    </row>
    <row r="102" spans="1:3" x14ac:dyDescent="0.2">
      <c r="A102" s="2" t="s">
        <v>7</v>
      </c>
      <c r="B102" s="3">
        <v>0.5</v>
      </c>
      <c r="C102" s="5">
        <v>46.176098039215688</v>
      </c>
    </row>
    <row r="103" spans="1:3" x14ac:dyDescent="0.2">
      <c r="A103" s="2" t="s">
        <v>7</v>
      </c>
      <c r="B103" s="3">
        <v>1</v>
      </c>
      <c r="C103" s="5">
        <v>46.176098039215688</v>
      </c>
    </row>
    <row r="104" spans="1:3" x14ac:dyDescent="0.2">
      <c r="A104" s="2" t="s">
        <v>7</v>
      </c>
      <c r="B104" s="3">
        <v>1.5</v>
      </c>
      <c r="C104" s="5">
        <v>48.607031372549024</v>
      </c>
    </row>
    <row r="105" spans="1:3" x14ac:dyDescent="0.2">
      <c r="A105" s="2" t="s">
        <v>7</v>
      </c>
      <c r="B105" s="3">
        <v>2</v>
      </c>
      <c r="C105" s="5">
        <v>48.607031372549024</v>
      </c>
    </row>
    <row r="106" spans="1:3" x14ac:dyDescent="0.2">
      <c r="A106" s="2" t="s">
        <v>7</v>
      </c>
      <c r="B106" s="3">
        <v>2.5</v>
      </c>
      <c r="C106" s="5">
        <v>54.076631372549024</v>
      </c>
    </row>
    <row r="107" spans="1:3" x14ac:dyDescent="0.2">
      <c r="A107" s="2" t="s">
        <v>7</v>
      </c>
      <c r="B107" s="3">
        <v>3</v>
      </c>
      <c r="C107" s="5">
        <v>58.938498039215681</v>
      </c>
    </row>
    <row r="108" spans="1:3" x14ac:dyDescent="0.2">
      <c r="A108" s="2" t="s">
        <v>7</v>
      </c>
      <c r="B108" s="3">
        <v>3.5</v>
      </c>
      <c r="C108" s="5">
        <v>63.800364705882352</v>
      </c>
    </row>
    <row r="109" spans="1:3" x14ac:dyDescent="0.2">
      <c r="A109" s="2" t="s">
        <v>7</v>
      </c>
      <c r="B109" s="3">
        <v>4</v>
      </c>
      <c r="C109" s="5">
        <v>68.662231372549016</v>
      </c>
    </row>
    <row r="110" spans="1:3" x14ac:dyDescent="0.2">
      <c r="A110" s="2" t="s">
        <v>7</v>
      </c>
      <c r="B110" s="3">
        <v>4.5</v>
      </c>
      <c r="C110" s="5">
        <v>73.524098039215673</v>
      </c>
    </row>
    <row r="111" spans="1:3" x14ac:dyDescent="0.2">
      <c r="A111" s="2" t="s">
        <v>7</v>
      </c>
      <c r="B111" s="3">
        <v>5</v>
      </c>
      <c r="C111" s="5">
        <v>78.385964705882344</v>
      </c>
    </row>
    <row r="112" spans="1:3" x14ac:dyDescent="0.2">
      <c r="A112" s="2" t="s">
        <v>7</v>
      </c>
      <c r="B112" s="3">
        <v>5.5</v>
      </c>
      <c r="C112" s="5">
        <v>84.431596078431369</v>
      </c>
    </row>
    <row r="113" spans="1:3" x14ac:dyDescent="0.2">
      <c r="A113" s="2" t="s">
        <v>7</v>
      </c>
      <c r="B113" s="3">
        <v>6</v>
      </c>
      <c r="C113" s="5">
        <v>89.29346274509804</v>
      </c>
    </row>
    <row r="114" spans="1:3" x14ac:dyDescent="0.2">
      <c r="A114" s="2" t="s">
        <v>7</v>
      </c>
      <c r="B114" s="3">
        <v>6.5</v>
      </c>
      <c r="C114" s="5">
        <v>94.155329411764697</v>
      </c>
    </row>
    <row r="115" spans="1:3" x14ac:dyDescent="0.2">
      <c r="A115" s="2" t="s">
        <v>7</v>
      </c>
      <c r="B115" s="3">
        <v>7</v>
      </c>
      <c r="C115" s="5">
        <v>99.017196078431368</v>
      </c>
    </row>
    <row r="116" spans="1:3" x14ac:dyDescent="0.2">
      <c r="A116" s="2" t="s">
        <v>7</v>
      </c>
      <c r="B116" s="3">
        <v>7.5</v>
      </c>
      <c r="C116" s="5">
        <v>103.87906274509803</v>
      </c>
    </row>
    <row r="117" spans="1:3" x14ac:dyDescent="0.2">
      <c r="A117" s="2" t="s">
        <v>7</v>
      </c>
      <c r="B117" s="3">
        <v>8</v>
      </c>
      <c r="C117" s="5">
        <v>108.7409294117647</v>
      </c>
    </row>
    <row r="118" spans="1:3" x14ac:dyDescent="0.2">
      <c r="A118" s="2" t="s">
        <v>7</v>
      </c>
      <c r="B118" s="3">
        <v>8.5</v>
      </c>
      <c r="C118" s="5">
        <v>113.60279607843137</v>
      </c>
    </row>
    <row r="119" spans="1:3" x14ac:dyDescent="0.2">
      <c r="A119" s="2" t="s">
        <v>7</v>
      </c>
      <c r="B119" s="3">
        <v>9</v>
      </c>
      <c r="C119" s="5">
        <v>118.46466274509804</v>
      </c>
    </row>
    <row r="120" spans="1:3" x14ac:dyDescent="0.2">
      <c r="A120" s="2" t="s">
        <v>7</v>
      </c>
      <c r="B120" s="3">
        <v>9.5</v>
      </c>
      <c r="C120" s="5">
        <v>123.32652941176471</v>
      </c>
    </row>
    <row r="121" spans="1:3" x14ac:dyDescent="0.2">
      <c r="A121" s="2" t="s">
        <v>7</v>
      </c>
      <c r="B121" s="3">
        <v>10</v>
      </c>
      <c r="C121" s="5">
        <v>128.18839607843137</v>
      </c>
    </row>
    <row r="122" spans="1:3" x14ac:dyDescent="0.2">
      <c r="A122" s="2" t="s">
        <v>7</v>
      </c>
      <c r="B122" s="3">
        <v>11</v>
      </c>
      <c r="C122" s="5">
        <v>146.91683529411762</v>
      </c>
    </row>
    <row r="123" spans="1:3" x14ac:dyDescent="0.2">
      <c r="A123" s="2" t="s">
        <v>7</v>
      </c>
      <c r="B123" s="3">
        <v>12</v>
      </c>
      <c r="C123" s="5">
        <v>157.12216862745098</v>
      </c>
    </row>
    <row r="124" spans="1:3" x14ac:dyDescent="0.2">
      <c r="A124" s="2" t="s">
        <v>7</v>
      </c>
      <c r="B124" s="3">
        <v>13</v>
      </c>
      <c r="C124" s="5">
        <v>167.3275019607843</v>
      </c>
    </row>
    <row r="125" spans="1:3" x14ac:dyDescent="0.2">
      <c r="A125" s="2" t="s">
        <v>7</v>
      </c>
      <c r="B125" s="3">
        <v>14</v>
      </c>
      <c r="C125" s="5">
        <v>177.53283529411766</v>
      </c>
    </row>
    <row r="126" spans="1:3" x14ac:dyDescent="0.2">
      <c r="A126" s="2" t="s">
        <v>7</v>
      </c>
      <c r="B126" s="3">
        <v>15</v>
      </c>
      <c r="C126" s="5">
        <v>187.73816862745099</v>
      </c>
    </row>
    <row r="127" spans="1:3" x14ac:dyDescent="0.2">
      <c r="A127" s="2" t="s">
        <v>8</v>
      </c>
      <c r="B127" s="3">
        <v>0.5</v>
      </c>
      <c r="C127" s="5">
        <v>46.176098039215688</v>
      </c>
    </row>
    <row r="128" spans="1:3" x14ac:dyDescent="0.2">
      <c r="A128" s="2" t="s">
        <v>8</v>
      </c>
      <c r="B128" s="3">
        <v>1</v>
      </c>
      <c r="C128" s="5">
        <v>46.176098039215688</v>
      </c>
    </row>
    <row r="129" spans="1:3" x14ac:dyDescent="0.2">
      <c r="A129" s="2" t="s">
        <v>8</v>
      </c>
      <c r="B129" s="3">
        <v>1.5</v>
      </c>
      <c r="C129" s="5">
        <v>48.607031372549024</v>
      </c>
    </row>
    <row r="130" spans="1:3" x14ac:dyDescent="0.2">
      <c r="A130" s="2" t="s">
        <v>8</v>
      </c>
      <c r="B130" s="3">
        <v>2</v>
      </c>
      <c r="C130" s="5">
        <v>48.607031372549024</v>
      </c>
    </row>
    <row r="131" spans="1:3" x14ac:dyDescent="0.2">
      <c r="A131" s="2" t="s">
        <v>8</v>
      </c>
      <c r="B131" s="3">
        <v>2.5</v>
      </c>
      <c r="C131" s="5">
        <v>54.076631372549024</v>
      </c>
    </row>
    <row r="132" spans="1:3" x14ac:dyDescent="0.2">
      <c r="A132" s="2" t="s">
        <v>8</v>
      </c>
      <c r="B132" s="3">
        <v>3</v>
      </c>
      <c r="C132" s="5">
        <v>58.938498039215681</v>
      </c>
    </row>
    <row r="133" spans="1:3" x14ac:dyDescent="0.2">
      <c r="A133" s="2" t="s">
        <v>8</v>
      </c>
      <c r="B133" s="3">
        <v>3.5</v>
      </c>
      <c r="C133" s="5">
        <v>63.800364705882352</v>
      </c>
    </row>
    <row r="134" spans="1:3" x14ac:dyDescent="0.2">
      <c r="A134" s="2" t="s">
        <v>8</v>
      </c>
      <c r="B134" s="3">
        <v>4</v>
      </c>
      <c r="C134" s="5">
        <v>68.662231372549016</v>
      </c>
    </row>
    <row r="135" spans="1:3" x14ac:dyDescent="0.2">
      <c r="A135" s="2" t="s">
        <v>8</v>
      </c>
      <c r="B135" s="3">
        <v>4.5</v>
      </c>
      <c r="C135" s="5">
        <v>73.524098039215673</v>
      </c>
    </row>
    <row r="136" spans="1:3" x14ac:dyDescent="0.2">
      <c r="A136" s="2" t="s">
        <v>8</v>
      </c>
      <c r="B136" s="3">
        <v>5</v>
      </c>
      <c r="C136" s="5">
        <v>78.385964705882344</v>
      </c>
    </row>
    <row r="137" spans="1:3" x14ac:dyDescent="0.2">
      <c r="A137" s="2" t="s">
        <v>8</v>
      </c>
      <c r="B137" s="3">
        <v>5.5</v>
      </c>
      <c r="C137" s="5">
        <v>84.431596078431369</v>
      </c>
    </row>
    <row r="138" spans="1:3" x14ac:dyDescent="0.2">
      <c r="A138" s="2" t="s">
        <v>8</v>
      </c>
      <c r="B138" s="3">
        <v>6</v>
      </c>
      <c r="C138" s="5">
        <v>89.29346274509804</v>
      </c>
    </row>
    <row r="139" spans="1:3" x14ac:dyDescent="0.2">
      <c r="A139" s="2" t="s">
        <v>8</v>
      </c>
      <c r="B139" s="3">
        <v>6.5</v>
      </c>
      <c r="C139" s="5">
        <v>94.155329411764697</v>
      </c>
    </row>
    <row r="140" spans="1:3" x14ac:dyDescent="0.2">
      <c r="A140" s="2" t="s">
        <v>8</v>
      </c>
      <c r="B140" s="3">
        <v>7</v>
      </c>
      <c r="C140" s="5">
        <v>99.017196078431368</v>
      </c>
    </row>
    <row r="141" spans="1:3" x14ac:dyDescent="0.2">
      <c r="A141" s="2" t="s">
        <v>8</v>
      </c>
      <c r="B141" s="3">
        <v>7.5</v>
      </c>
      <c r="C141" s="5">
        <v>103.87906274509803</v>
      </c>
    </row>
    <row r="142" spans="1:3" x14ac:dyDescent="0.2">
      <c r="A142" s="2" t="s">
        <v>8</v>
      </c>
      <c r="B142" s="3">
        <v>8</v>
      </c>
      <c r="C142" s="5">
        <v>108.7409294117647</v>
      </c>
    </row>
    <row r="143" spans="1:3" x14ac:dyDescent="0.2">
      <c r="A143" s="2" t="s">
        <v>8</v>
      </c>
      <c r="B143" s="3">
        <v>8.5</v>
      </c>
      <c r="C143" s="5">
        <v>113.60279607843137</v>
      </c>
    </row>
    <row r="144" spans="1:3" x14ac:dyDescent="0.2">
      <c r="A144" s="2" t="s">
        <v>8</v>
      </c>
      <c r="B144" s="3">
        <v>9</v>
      </c>
      <c r="C144" s="5">
        <v>118.46466274509804</v>
      </c>
    </row>
    <row r="145" spans="1:3" x14ac:dyDescent="0.2">
      <c r="A145" s="2" t="s">
        <v>8</v>
      </c>
      <c r="B145" s="3">
        <v>9.5</v>
      </c>
      <c r="C145" s="5">
        <v>123.32652941176471</v>
      </c>
    </row>
    <row r="146" spans="1:3" x14ac:dyDescent="0.2">
      <c r="A146" s="2" t="s">
        <v>8</v>
      </c>
      <c r="B146" s="3">
        <v>10</v>
      </c>
      <c r="C146" s="5">
        <v>128.18839607843137</v>
      </c>
    </row>
    <row r="147" spans="1:3" x14ac:dyDescent="0.2">
      <c r="A147" s="2" t="s">
        <v>8</v>
      </c>
      <c r="B147" s="3">
        <v>11</v>
      </c>
      <c r="C147" s="5">
        <v>146.91683529411762</v>
      </c>
    </row>
    <row r="148" spans="1:3" x14ac:dyDescent="0.2">
      <c r="A148" s="2" t="s">
        <v>8</v>
      </c>
      <c r="B148" s="3">
        <v>12</v>
      </c>
      <c r="C148" s="5">
        <v>157.12216862745098</v>
      </c>
    </row>
    <row r="149" spans="1:3" x14ac:dyDescent="0.2">
      <c r="A149" s="2" t="s">
        <v>8</v>
      </c>
      <c r="B149" s="3">
        <v>13</v>
      </c>
      <c r="C149" s="5">
        <v>167.3275019607843</v>
      </c>
    </row>
    <row r="150" spans="1:3" x14ac:dyDescent="0.2">
      <c r="A150" s="2" t="s">
        <v>8</v>
      </c>
      <c r="B150" s="3">
        <v>14</v>
      </c>
      <c r="C150" s="5">
        <v>177.53283529411766</v>
      </c>
    </row>
    <row r="151" spans="1:3" x14ac:dyDescent="0.2">
      <c r="A151" s="2" t="s">
        <v>8</v>
      </c>
      <c r="B151" s="3">
        <v>15</v>
      </c>
      <c r="C151" s="5">
        <v>187.73816862745099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 ENVIOS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Sebasti�n  Piedrahita Alzate</dc:creator>
  <cp:lastModifiedBy>Sebasti�n  Piedrahita Alzate</cp:lastModifiedBy>
  <dcterms:created xsi:type="dcterms:W3CDTF">2026-03-28T14:59:47Z</dcterms:created>
  <dcterms:modified xsi:type="dcterms:W3CDTF">2026-09-01T19:31:17Z</dcterms:modified>
</cp:coreProperties>
</file>